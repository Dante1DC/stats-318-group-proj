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uper\Desktop\coding\year4\stats2\stats-318-group-proj\one_way_anova\"/>
    </mc:Choice>
  </mc:AlternateContent>
  <xr:revisionPtr revIDLastSave="0" documentId="13_ncr:1_{DC76A0FE-AF52-48D6-904B-223B7A210A69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</sheets>
  <definedNames>
    <definedName name="_xlchart.v1.0" hidden="1">Sheet1!$B$2:$B$33</definedName>
    <definedName name="_xlchart.v1.1" hidden="1">Sheet1!$C$1</definedName>
    <definedName name="_xlchart.v1.10" hidden="1">Sheet1!$C$1</definedName>
    <definedName name="_xlchart.v1.11" hidden="1">Sheet1!$C$2:$C$33</definedName>
    <definedName name="_xlchart.v1.12" hidden="1">Sheet1!$C$2:$C$33</definedName>
    <definedName name="_xlchart.v1.13" hidden="1">Sheet1!$D$2:$D$33</definedName>
    <definedName name="_xlchart.v1.2" hidden="1">Sheet1!$C$2:$C$33</definedName>
    <definedName name="_xlchart.v1.3" hidden="1">Sheet1!$B$2:$B$33</definedName>
    <definedName name="_xlchart.v1.4" hidden="1">Sheet1!$C$1</definedName>
    <definedName name="_xlchart.v1.5" hidden="1">Sheet1!$C$2:$C$33</definedName>
    <definedName name="_xlchart.v1.6" hidden="1">Sheet1!$B$2:$B$33</definedName>
    <definedName name="_xlchart.v1.7" hidden="1">Sheet1!$C$1</definedName>
    <definedName name="_xlchart.v1.8" hidden="1">Sheet1!$C$2:$C$33</definedName>
    <definedName name="_xlchart.v1.9" hidden="1">Sheet1!$B$2:$B$33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2" i="1"/>
  <c r="E33" i="1"/>
  <c r="F33" i="1" s="1"/>
  <c r="E3" i="1"/>
  <c r="F32" i="1" s="1"/>
  <c r="E4" i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E15" i="1"/>
  <c r="F15" i="1" s="1"/>
  <c r="E16" i="1"/>
  <c r="E17" i="1"/>
  <c r="F4" i="1" s="1"/>
  <c r="E18" i="1"/>
  <c r="F18" i="1" s="1"/>
  <c r="E19" i="1"/>
  <c r="F19" i="1" s="1"/>
  <c r="E20" i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E31" i="1"/>
  <c r="F31" i="1" s="1"/>
  <c r="E32" i="1"/>
  <c r="E2" i="1"/>
  <c r="F2" i="1" s="1"/>
  <c r="F3" i="1" l="1"/>
  <c r="G3" i="1" s="1"/>
  <c r="F17" i="1"/>
  <c r="F16" i="1"/>
  <c r="F20" i="1"/>
  <c r="F30" i="1"/>
  <c r="F14" i="1"/>
</calcChain>
</file>

<file path=xl/sharedStrings.xml><?xml version="1.0" encoding="utf-8"?>
<sst xmlns="http://schemas.openxmlformats.org/spreadsheetml/2006/main" count="40" uniqueCount="12">
  <si>
    <t>client_id</t>
  </si>
  <si>
    <t>pitch</t>
  </si>
  <si>
    <t>rating</t>
  </si>
  <si>
    <t>No PowerPoint</t>
  </si>
  <si>
    <t xml:space="preserve"> Just Talking</t>
  </si>
  <si>
    <t>PowerPoint</t>
  </si>
  <si>
    <t xml:space="preserve"> PowerPoint</t>
  </si>
  <si>
    <t xml:space="preserve"> Pamphlet</t>
  </si>
  <si>
    <t>residuals</t>
  </si>
  <si>
    <t>rank</t>
  </si>
  <si>
    <t>percentile</t>
  </si>
  <si>
    <t>Z-Score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</si>
</sst>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QQ-Plot of Anova Residuals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residuals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trendline>
            <c:spPr>
              <a:ln w="28575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Sheet1!$G$2:$G$33</c:f>
              <c:numCache>
                <c:formatCode>General</c:formatCode>
                <c:ptCount val="32"/>
                <c:pt idx="0">
                  <c:v>0.36012989178956933</c:v>
                </c:pt>
                <c:pt idx="1">
                  <c:v>-0.94678175630104722</c:v>
                </c:pt>
                <c:pt idx="2">
                  <c:v>1.4177971379962682</c:v>
                </c:pt>
                <c:pt idx="3">
                  <c:v>-0.44509652498551644</c:v>
                </c:pt>
                <c:pt idx="4">
                  <c:v>0.94678175630104722</c:v>
                </c:pt>
                <c:pt idx="5">
                  <c:v>-1.6759397227734436</c:v>
                </c:pt>
                <c:pt idx="6">
                  <c:v>0.44509652498551644</c:v>
                </c:pt>
                <c:pt idx="7">
                  <c:v>-0.36012989178956933</c:v>
                </c:pt>
                <c:pt idx="8">
                  <c:v>-0.62609901234642129</c:v>
                </c:pt>
                <c:pt idx="9">
                  <c:v>0.11776987457909528</c:v>
                </c:pt>
                <c:pt idx="10">
                  <c:v>1.229858759216589</c:v>
                </c:pt>
                <c:pt idx="11">
                  <c:v>0.11776987457909528</c:v>
                </c:pt>
                <c:pt idx="12">
                  <c:v>-1.0775155670402805</c:v>
                </c:pt>
                <c:pt idx="13">
                  <c:v>0.83051087820540004</c:v>
                </c:pt>
                <c:pt idx="14">
                  <c:v>0.11776987457909528</c:v>
                </c:pt>
                <c:pt idx="15">
                  <c:v>-0.62609901234642129</c:v>
                </c:pt>
                <c:pt idx="16">
                  <c:v>-0.83051087820540004</c:v>
                </c:pt>
                <c:pt idx="17">
                  <c:v>0.62609901234642129</c:v>
                </c:pt>
                <c:pt idx="18">
                  <c:v>-1.4177971379962682</c:v>
                </c:pt>
                <c:pt idx="19">
                  <c:v>-3.9176085503097632E-2</c:v>
                </c:pt>
                <c:pt idx="20">
                  <c:v>-3.9176085503097632E-2</c:v>
                </c:pt>
                <c:pt idx="21">
                  <c:v>1.6759397227734436</c:v>
                </c:pt>
                <c:pt idx="22">
                  <c:v>0.62609901234642129</c:v>
                </c:pt>
                <c:pt idx="23">
                  <c:v>-0.83051087820540004</c:v>
                </c:pt>
                <c:pt idx="24">
                  <c:v>-1.4177971379962682</c:v>
                </c:pt>
                <c:pt idx="25">
                  <c:v>1.6759397227734436</c:v>
                </c:pt>
                <c:pt idx="26">
                  <c:v>0.5334097062412807</c:v>
                </c:pt>
                <c:pt idx="27">
                  <c:v>-0.27769043982157676</c:v>
                </c:pt>
                <c:pt idx="28">
                  <c:v>1.0775155670402805</c:v>
                </c:pt>
                <c:pt idx="29">
                  <c:v>-0.27769043982157676</c:v>
                </c:pt>
                <c:pt idx="30">
                  <c:v>-2.1538746940614555</c:v>
                </c:pt>
                <c:pt idx="31">
                  <c:v>-0.27769043982157676</c:v>
                </c:pt>
              </c:numCache>
            </c:numRef>
          </c:xVal>
          <c:yVal>
            <c:numRef>
              <c:f>Sheet1!$H$2:$H$33</c:f>
              <c:numCache>
                <c:formatCode>General</c:formatCode>
                <c:ptCount val="32"/>
                <c:pt idx="0">
                  <c:v>0.49999999999995298</c:v>
                </c:pt>
                <c:pt idx="1">
                  <c:v>-1.50000000000006</c:v>
                </c:pt>
                <c:pt idx="2">
                  <c:v>2.5</c:v>
                </c:pt>
                <c:pt idx="3">
                  <c:v>-0.49999999999998102</c:v>
                </c:pt>
                <c:pt idx="4">
                  <c:v>1.50000000000002</c:v>
                </c:pt>
                <c:pt idx="5">
                  <c:v>-2.49999999999998</c:v>
                </c:pt>
                <c:pt idx="6">
                  <c:v>0.50000000000002198</c:v>
                </c:pt>
                <c:pt idx="7">
                  <c:v>-0.49999999999997802</c:v>
                </c:pt>
                <c:pt idx="8">
                  <c:v>-0.875</c:v>
                </c:pt>
                <c:pt idx="9">
                  <c:v>0.125</c:v>
                </c:pt>
                <c:pt idx="10">
                  <c:v>2.125</c:v>
                </c:pt>
                <c:pt idx="11">
                  <c:v>0.125</c:v>
                </c:pt>
                <c:pt idx="12">
                  <c:v>-1.875</c:v>
                </c:pt>
                <c:pt idx="13">
                  <c:v>1.125</c:v>
                </c:pt>
                <c:pt idx="14">
                  <c:v>0.125</c:v>
                </c:pt>
                <c:pt idx="15">
                  <c:v>-0.875</c:v>
                </c:pt>
                <c:pt idx="16">
                  <c:v>-1.125</c:v>
                </c:pt>
                <c:pt idx="17">
                  <c:v>0.875</c:v>
                </c:pt>
                <c:pt idx="18">
                  <c:v>-2.125</c:v>
                </c:pt>
                <c:pt idx="19">
                  <c:v>-0.125</c:v>
                </c:pt>
                <c:pt idx="20">
                  <c:v>-0.125</c:v>
                </c:pt>
                <c:pt idx="21">
                  <c:v>2.875</c:v>
                </c:pt>
                <c:pt idx="22">
                  <c:v>0.875</c:v>
                </c:pt>
                <c:pt idx="23">
                  <c:v>-1.125</c:v>
                </c:pt>
                <c:pt idx="24">
                  <c:v>-2.125</c:v>
                </c:pt>
                <c:pt idx="25">
                  <c:v>2.875</c:v>
                </c:pt>
                <c:pt idx="26">
                  <c:v>0.874999999999999</c:v>
                </c:pt>
                <c:pt idx="27">
                  <c:v>-0.125000000000001</c:v>
                </c:pt>
                <c:pt idx="28">
                  <c:v>1.875</c:v>
                </c:pt>
                <c:pt idx="29">
                  <c:v>-0.125000000000001</c:v>
                </c:pt>
                <c:pt idx="30">
                  <c:v>-3.125</c:v>
                </c:pt>
                <c:pt idx="31">
                  <c:v>-0.125000000000001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41-415F-8F1B-C9AD8F3C3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8797504"/>
        <c:axId val="1868799424"/>
      </c:scatterChart>
      <c:valAx>
        <c:axId val="1868797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Theoretical Quartile</a:t>
                </a:r>
              </a:p>
            </c:rich>
          </c:tx>
          <c:layout>
            <c:manualLayout>
              <c:xMode val="edge"/>
              <c:yMode val="edge"/>
              <c:x val="0.39592154170964045"/>
              <c:y val="0.901828521434820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799424"/>
        <c:crosses val="autoZero"/>
        <c:crossBetween val="midCat"/>
      </c:valAx>
      <c:valAx>
        <c:axId val="186879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 Quartile</a:t>
                </a:r>
              </a:p>
            </c:rich>
          </c:tx>
          <c:layout>
            <c:manualLayout>
              <c:xMode val="edge"/>
              <c:yMode val="edge"/>
              <c:x val="1.9743383654934565E-2"/>
              <c:y val="0.36006926217556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797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txData>
          <cx:v>Distribution of ANOVA Residuals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Distribution of ANOVA Residuals</a:t>
          </a:r>
        </a:p>
      </cx:txPr>
    </cx:title>
    <cx:plotArea>
      <cx:plotAreaRegion>
        <cx:series layoutId="clusteredColumn" uniqueId="{15E5BC1D-8E16-4583-B286-49BF9858E076}">
          <cx:spPr>
            <a:solidFill>
              <a:srgbClr val="CC3399"/>
            </a:solidFill>
          </cx:spPr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tle>
          <cx:tx>
            <cx:txData>
              <cx:v>Residual Bins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Residual Bins</a:t>
              </a:r>
            </a:p>
          </cx:txPr>
        </cx:title>
        <cx:tickLabels/>
      </cx:axis>
      <cx:axis id="1">
        <cx:valScaling/>
        <cx:title>
          <cx:tx>
            <cx:txData>
              <cx:v>Total Count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Total Count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Difference in Ratings Across Pitch Types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Difference in Ratings Across Pitch Types</a:t>
          </a:r>
        </a:p>
      </cx:txPr>
    </cx:title>
    <cx:plotArea>
      <cx:plotAreaRegion>
        <cx:series layoutId="boxWhisker" uniqueId="{1454A337-B967-44B0-875F-7BD9CF038455}">
          <cx:tx>
            <cx:txData>
              <cx:f>_xlchart.v1.7</cx:f>
              <cx:v>rating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Pitch Type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Pitch Type</a:t>
              </a:r>
            </a:p>
          </cx:txPr>
        </cx:title>
        <cx:tickLabels/>
      </cx:axis>
      <cx:axis id="1">
        <cx:valScaling max="95" min="40"/>
        <cx:title>
          <cx:tx>
            <cx:txData>
              <cx:v>Rating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Rating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49597</xdr:colOff>
      <xdr:row>4</xdr:row>
      <xdr:rowOff>84763</xdr:rowOff>
    </xdr:from>
    <xdr:to>
      <xdr:col>13</xdr:col>
      <xdr:colOff>505240</xdr:colOff>
      <xdr:row>18</xdr:row>
      <xdr:rowOff>160963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780D19A-FA73-1BA6-A200-2F19F432D3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30249" y="846763"/>
              <a:ext cx="290729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537882</xdr:colOff>
      <xdr:row>4</xdr:row>
      <xdr:rowOff>66164</xdr:rowOff>
    </xdr:from>
    <xdr:to>
      <xdr:col>19</xdr:col>
      <xdr:colOff>95250</xdr:colOff>
      <xdr:row>18</xdr:row>
      <xdr:rowOff>142364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79E2B23-05E4-10B7-5EF1-5D4EA50879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537883</xdr:colOff>
      <xdr:row>19</xdr:row>
      <xdr:rowOff>146796</xdr:rowOff>
    </xdr:from>
    <xdr:to>
      <xdr:col>15</xdr:col>
      <xdr:colOff>7327</xdr:colOff>
      <xdr:row>35</xdr:row>
      <xdr:rowOff>21981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133990E2-48DF-A9E0-C889-F78B213B27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76633" y="3766296"/>
              <a:ext cx="3726386" cy="29231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topLeftCell="E10" zoomScale="130" zoomScaleNormal="130" workbookViewId="0">
      <selection activeCell="P26" sqref="P26"/>
    </sheetView>
  </sheetViews>
  <sheetFormatPr defaultRowHeight="15" x14ac:dyDescent="0.25"/>
  <cols>
    <col min="1" max="1" width="8.7109375" bestFit="1" customWidth="1"/>
    <col min="2" max="2" width="15.140625" bestFit="1" customWidth="1"/>
  </cols>
  <sheetData>
    <row r="1" spans="1:8" x14ac:dyDescent="0.25">
      <c r="A1" s="2" t="s">
        <v>0</v>
      </c>
      <c r="B1" s="1" t="s">
        <v>1</v>
      </c>
      <c r="C1" s="1" t="s">
        <v>2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8</v>
      </c>
    </row>
    <row r="2" spans="1:8" x14ac:dyDescent="0.25">
      <c r="A2" s="2">
        <v>1</v>
      </c>
      <c r="B2" s="1" t="s">
        <v>3</v>
      </c>
      <c r="C2" s="1">
        <v>65</v>
      </c>
      <c r="D2" s="3">
        <v>0.49999999999995298</v>
      </c>
      <c r="E2" s="3">
        <f>RANK(D2,$D$2:$D$33,1)</f>
        <v>21</v>
      </c>
      <c r="F2" s="3">
        <f>(E2-0.5)/COUNT($E$2:$E$33)</f>
        <v>0.640625</v>
      </c>
      <c r="G2" s="3">
        <f>_xlfn.NORM.S.INV(F2)</f>
        <v>0.36012989178956933</v>
      </c>
      <c r="H2" s="3">
        <v>0.49999999999995298</v>
      </c>
    </row>
    <row r="3" spans="1:8" x14ac:dyDescent="0.25">
      <c r="A3" s="2">
        <v>2</v>
      </c>
      <c r="B3" s="1" t="s">
        <v>3</v>
      </c>
      <c r="C3" s="1">
        <v>63</v>
      </c>
      <c r="D3" s="3">
        <v>-1.50000000000006</v>
      </c>
      <c r="E3" s="3">
        <f t="shared" ref="E3:E32" si="0">RANK(D3,$D$2:$D$33,1)</f>
        <v>6</v>
      </c>
      <c r="F3" s="3">
        <f t="shared" ref="F3:F33" si="1">(E3-0.5)/COUNT($E$2:$E$33)</f>
        <v>0.171875</v>
      </c>
      <c r="G3" s="3">
        <f>_xlfn.NORM.S.INV(F3)</f>
        <v>-0.94678175630104722</v>
      </c>
      <c r="H3" s="3">
        <v>-1.50000000000006</v>
      </c>
    </row>
    <row r="4" spans="1:8" x14ac:dyDescent="0.25">
      <c r="A4" s="2">
        <v>3</v>
      </c>
      <c r="B4" s="1" t="s">
        <v>3</v>
      </c>
      <c r="C4" s="1">
        <v>67</v>
      </c>
      <c r="D4" s="3">
        <v>2.5</v>
      </c>
      <c r="E4" s="3">
        <f t="shared" si="0"/>
        <v>30</v>
      </c>
      <c r="F4" s="3">
        <f t="shared" si="1"/>
        <v>0.921875</v>
      </c>
      <c r="G4" s="3">
        <f t="shared" ref="G4:G33" si="2">_xlfn.NORM.S.INV(F4)</f>
        <v>1.4177971379962682</v>
      </c>
      <c r="H4" s="3">
        <v>2.5</v>
      </c>
    </row>
    <row r="5" spans="1:8" x14ac:dyDescent="0.25">
      <c r="A5" s="2">
        <v>4</v>
      </c>
      <c r="B5" s="1" t="s">
        <v>3</v>
      </c>
      <c r="C5" s="1">
        <v>64</v>
      </c>
      <c r="D5" s="3">
        <v>-0.49999999999998102</v>
      </c>
      <c r="E5" s="3">
        <f t="shared" si="0"/>
        <v>11</v>
      </c>
      <c r="F5" s="3">
        <f t="shared" si="1"/>
        <v>0.328125</v>
      </c>
      <c r="G5" s="3">
        <f t="shared" si="2"/>
        <v>-0.44509652498551644</v>
      </c>
      <c r="H5" s="3">
        <v>-0.49999999999998102</v>
      </c>
    </row>
    <row r="6" spans="1:8" x14ac:dyDescent="0.25">
      <c r="A6" s="2">
        <v>5</v>
      </c>
      <c r="B6" s="1" t="s">
        <v>3</v>
      </c>
      <c r="C6" s="1">
        <v>66</v>
      </c>
      <c r="D6" s="3">
        <v>1.50000000000002</v>
      </c>
      <c r="E6" s="3">
        <f t="shared" si="0"/>
        <v>27</v>
      </c>
      <c r="F6" s="3">
        <f t="shared" si="1"/>
        <v>0.828125</v>
      </c>
      <c r="G6" s="3">
        <f t="shared" si="2"/>
        <v>0.94678175630104722</v>
      </c>
      <c r="H6" s="3">
        <v>1.50000000000002</v>
      </c>
    </row>
    <row r="7" spans="1:8" x14ac:dyDescent="0.25">
      <c r="A7" s="2">
        <v>6</v>
      </c>
      <c r="B7" s="1" t="s">
        <v>3</v>
      </c>
      <c r="C7" s="1">
        <v>62</v>
      </c>
      <c r="D7" s="3">
        <v>-2.49999999999998</v>
      </c>
      <c r="E7" s="3">
        <f t="shared" si="0"/>
        <v>2</v>
      </c>
      <c r="F7" s="3">
        <f t="shared" si="1"/>
        <v>4.6875E-2</v>
      </c>
      <c r="G7" s="3">
        <f t="shared" si="2"/>
        <v>-1.6759397227734436</v>
      </c>
      <c r="H7" s="3">
        <v>-2.49999999999998</v>
      </c>
    </row>
    <row r="8" spans="1:8" x14ac:dyDescent="0.25">
      <c r="A8" s="2">
        <v>7</v>
      </c>
      <c r="B8" s="1" t="s">
        <v>3</v>
      </c>
      <c r="C8" s="1">
        <v>65</v>
      </c>
      <c r="D8" s="3">
        <v>0.50000000000002198</v>
      </c>
      <c r="E8" s="3">
        <f t="shared" si="0"/>
        <v>22</v>
      </c>
      <c r="F8" s="3">
        <f t="shared" si="1"/>
        <v>0.671875</v>
      </c>
      <c r="G8" s="3">
        <f t="shared" si="2"/>
        <v>0.44509652498551644</v>
      </c>
      <c r="H8" s="3">
        <v>0.50000000000002198</v>
      </c>
    </row>
    <row r="9" spans="1:8" x14ac:dyDescent="0.25">
      <c r="A9" s="2">
        <v>8</v>
      </c>
      <c r="B9" s="1" t="s">
        <v>3</v>
      </c>
      <c r="C9" s="1">
        <v>64</v>
      </c>
      <c r="D9" s="3">
        <v>-0.49999999999997802</v>
      </c>
      <c r="E9" s="3">
        <f t="shared" si="0"/>
        <v>12</v>
      </c>
      <c r="F9" s="3">
        <f t="shared" si="1"/>
        <v>0.359375</v>
      </c>
      <c r="G9" s="3">
        <f t="shared" si="2"/>
        <v>-0.36012989178956933</v>
      </c>
      <c r="H9" s="3">
        <v>-0.49999999999997802</v>
      </c>
    </row>
    <row r="10" spans="1:8" x14ac:dyDescent="0.25">
      <c r="A10" s="2">
        <v>9</v>
      </c>
      <c r="B10" s="1" t="s">
        <v>5</v>
      </c>
      <c r="C10" s="1">
        <v>75</v>
      </c>
      <c r="D10" s="3">
        <v>-0.875</v>
      </c>
      <c r="E10" s="3">
        <f t="shared" si="0"/>
        <v>9</v>
      </c>
      <c r="F10" s="3">
        <f t="shared" si="1"/>
        <v>0.265625</v>
      </c>
      <c r="G10" s="3">
        <f t="shared" si="2"/>
        <v>-0.62609901234642129</v>
      </c>
      <c r="H10" s="3">
        <v>-0.875</v>
      </c>
    </row>
    <row r="11" spans="1:8" x14ac:dyDescent="0.25">
      <c r="A11" s="2">
        <v>10</v>
      </c>
      <c r="B11" s="1" t="s">
        <v>6</v>
      </c>
      <c r="C11" s="1">
        <v>76</v>
      </c>
      <c r="D11" s="3">
        <v>0.125</v>
      </c>
      <c r="E11" s="3">
        <f t="shared" si="0"/>
        <v>18</v>
      </c>
      <c r="F11" s="3">
        <f t="shared" si="1"/>
        <v>0.546875</v>
      </c>
      <c r="G11" s="3">
        <f t="shared" si="2"/>
        <v>0.11776987457909528</v>
      </c>
      <c r="H11" s="3">
        <v>0.125</v>
      </c>
    </row>
    <row r="12" spans="1:8" x14ac:dyDescent="0.25">
      <c r="A12" s="2">
        <v>11</v>
      </c>
      <c r="B12" s="1" t="s">
        <v>6</v>
      </c>
      <c r="C12" s="1">
        <v>78</v>
      </c>
      <c r="D12" s="3">
        <v>2.125</v>
      </c>
      <c r="E12" s="3">
        <f t="shared" si="0"/>
        <v>29</v>
      </c>
      <c r="F12" s="3">
        <f t="shared" si="1"/>
        <v>0.890625</v>
      </c>
      <c r="G12" s="3">
        <f t="shared" si="2"/>
        <v>1.229858759216589</v>
      </c>
      <c r="H12" s="3">
        <v>2.125</v>
      </c>
    </row>
    <row r="13" spans="1:8" x14ac:dyDescent="0.25">
      <c r="A13" s="2">
        <v>12</v>
      </c>
      <c r="B13" s="1" t="s">
        <v>6</v>
      </c>
      <c r="C13" s="1">
        <v>76</v>
      </c>
      <c r="D13" s="3">
        <v>0.125</v>
      </c>
      <c r="E13" s="3">
        <f t="shared" si="0"/>
        <v>18</v>
      </c>
      <c r="F13" s="3">
        <f t="shared" si="1"/>
        <v>0.546875</v>
      </c>
      <c r="G13" s="3">
        <f t="shared" si="2"/>
        <v>0.11776987457909528</v>
      </c>
      <c r="H13" s="3">
        <v>0.125</v>
      </c>
    </row>
    <row r="14" spans="1:8" x14ac:dyDescent="0.25">
      <c r="A14" s="2">
        <v>13</v>
      </c>
      <c r="B14" s="1" t="s">
        <v>6</v>
      </c>
      <c r="C14" s="1">
        <v>74</v>
      </c>
      <c r="D14" s="3">
        <v>-1.875</v>
      </c>
      <c r="E14" s="3">
        <f t="shared" si="0"/>
        <v>5</v>
      </c>
      <c r="F14" s="3">
        <f t="shared" si="1"/>
        <v>0.140625</v>
      </c>
      <c r="G14" s="3">
        <f t="shared" si="2"/>
        <v>-1.0775155670402805</v>
      </c>
      <c r="H14" s="3">
        <v>-1.875</v>
      </c>
    </row>
    <row r="15" spans="1:8" x14ac:dyDescent="0.25">
      <c r="A15" s="2">
        <v>14</v>
      </c>
      <c r="B15" s="1" t="s">
        <v>6</v>
      </c>
      <c r="C15" s="1">
        <v>77</v>
      </c>
      <c r="D15" s="3">
        <v>1.125</v>
      </c>
      <c r="E15" s="3">
        <f t="shared" si="0"/>
        <v>26</v>
      </c>
      <c r="F15" s="3">
        <f t="shared" si="1"/>
        <v>0.796875</v>
      </c>
      <c r="G15" s="3">
        <f t="shared" si="2"/>
        <v>0.83051087820540004</v>
      </c>
      <c r="H15" s="3">
        <v>1.125</v>
      </c>
    </row>
    <row r="16" spans="1:8" x14ac:dyDescent="0.25">
      <c r="A16" s="2">
        <v>15</v>
      </c>
      <c r="B16" s="1" t="s">
        <v>6</v>
      </c>
      <c r="C16" s="1">
        <v>76</v>
      </c>
      <c r="D16" s="3">
        <v>0.125</v>
      </c>
      <c r="E16" s="3">
        <f t="shared" si="0"/>
        <v>18</v>
      </c>
      <c r="F16" s="3">
        <f t="shared" si="1"/>
        <v>0.546875</v>
      </c>
      <c r="G16" s="3">
        <f t="shared" si="2"/>
        <v>0.11776987457909528</v>
      </c>
      <c r="H16" s="3">
        <v>0.125</v>
      </c>
    </row>
    <row r="17" spans="1:8" x14ac:dyDescent="0.25">
      <c r="A17" s="2">
        <v>16</v>
      </c>
      <c r="B17" s="1" t="s">
        <v>6</v>
      </c>
      <c r="C17" s="1">
        <v>75</v>
      </c>
      <c r="D17" s="3">
        <v>-0.875</v>
      </c>
      <c r="E17" s="3">
        <f t="shared" si="0"/>
        <v>9</v>
      </c>
      <c r="F17" s="3">
        <f t="shared" si="1"/>
        <v>0.265625</v>
      </c>
      <c r="G17" s="3">
        <f t="shared" si="2"/>
        <v>-0.62609901234642129</v>
      </c>
      <c r="H17" s="3">
        <v>-0.875</v>
      </c>
    </row>
    <row r="18" spans="1:8" x14ac:dyDescent="0.25">
      <c r="A18" s="2">
        <v>17</v>
      </c>
      <c r="B18" s="1" t="s">
        <v>7</v>
      </c>
      <c r="C18" s="1">
        <v>88</v>
      </c>
      <c r="D18" s="3">
        <v>-1.125</v>
      </c>
      <c r="E18" s="3">
        <f t="shared" si="0"/>
        <v>7</v>
      </c>
      <c r="F18" s="3">
        <f t="shared" si="1"/>
        <v>0.203125</v>
      </c>
      <c r="G18" s="3">
        <f t="shared" si="2"/>
        <v>-0.83051087820540004</v>
      </c>
      <c r="H18" s="3">
        <v>-1.125</v>
      </c>
    </row>
    <row r="19" spans="1:8" x14ac:dyDescent="0.25">
      <c r="A19" s="2">
        <v>18</v>
      </c>
      <c r="B19" s="1" t="s">
        <v>7</v>
      </c>
      <c r="C19" s="1">
        <v>90</v>
      </c>
      <c r="D19" s="3">
        <v>0.875</v>
      </c>
      <c r="E19" s="3">
        <f t="shared" si="0"/>
        <v>24</v>
      </c>
      <c r="F19" s="3">
        <f t="shared" si="1"/>
        <v>0.734375</v>
      </c>
      <c r="G19" s="3">
        <f t="shared" si="2"/>
        <v>0.62609901234642129</v>
      </c>
      <c r="H19" s="3">
        <v>0.875</v>
      </c>
    </row>
    <row r="20" spans="1:8" x14ac:dyDescent="0.25">
      <c r="A20" s="2">
        <v>19</v>
      </c>
      <c r="B20" s="1" t="s">
        <v>7</v>
      </c>
      <c r="C20" s="1">
        <v>87</v>
      </c>
      <c r="D20" s="3">
        <v>-2.125</v>
      </c>
      <c r="E20" s="3">
        <f t="shared" si="0"/>
        <v>3</v>
      </c>
      <c r="F20" s="3">
        <f t="shared" si="1"/>
        <v>7.8125E-2</v>
      </c>
      <c r="G20" s="3">
        <f t="shared" si="2"/>
        <v>-1.4177971379962682</v>
      </c>
      <c r="H20" s="3">
        <v>-2.125</v>
      </c>
    </row>
    <row r="21" spans="1:8" x14ac:dyDescent="0.25">
      <c r="A21" s="2">
        <v>20</v>
      </c>
      <c r="B21" s="1" t="s">
        <v>7</v>
      </c>
      <c r="C21" s="1">
        <v>89</v>
      </c>
      <c r="D21" s="3">
        <v>-0.125</v>
      </c>
      <c r="E21" s="3">
        <f t="shared" si="0"/>
        <v>16</v>
      </c>
      <c r="F21" s="3">
        <f t="shared" si="1"/>
        <v>0.484375</v>
      </c>
      <c r="G21" s="3">
        <f t="shared" si="2"/>
        <v>-3.9176085503097632E-2</v>
      </c>
      <c r="H21" s="3">
        <v>-0.125</v>
      </c>
    </row>
    <row r="22" spans="1:8" x14ac:dyDescent="0.25">
      <c r="A22" s="2">
        <v>21</v>
      </c>
      <c r="B22" s="1" t="s">
        <v>7</v>
      </c>
      <c r="C22" s="1">
        <v>89</v>
      </c>
      <c r="D22" s="3">
        <v>-0.125</v>
      </c>
      <c r="E22" s="3">
        <f t="shared" si="0"/>
        <v>16</v>
      </c>
      <c r="F22" s="3">
        <f t="shared" si="1"/>
        <v>0.484375</v>
      </c>
      <c r="G22" s="3">
        <f t="shared" si="2"/>
        <v>-3.9176085503097632E-2</v>
      </c>
      <c r="H22" s="3">
        <v>-0.125</v>
      </c>
    </row>
    <row r="23" spans="1:8" x14ac:dyDescent="0.25">
      <c r="A23" s="2">
        <v>22</v>
      </c>
      <c r="B23" s="1" t="s">
        <v>7</v>
      </c>
      <c r="C23" s="1">
        <v>92</v>
      </c>
      <c r="D23" s="3">
        <v>2.875</v>
      </c>
      <c r="E23" s="3">
        <f t="shared" si="0"/>
        <v>31</v>
      </c>
      <c r="F23" s="3">
        <f t="shared" si="1"/>
        <v>0.953125</v>
      </c>
      <c r="G23" s="3">
        <f t="shared" si="2"/>
        <v>1.6759397227734436</v>
      </c>
      <c r="H23" s="3">
        <v>2.875</v>
      </c>
    </row>
    <row r="24" spans="1:8" x14ac:dyDescent="0.25">
      <c r="A24" s="2">
        <v>23</v>
      </c>
      <c r="B24" s="1" t="s">
        <v>7</v>
      </c>
      <c r="C24" s="1">
        <v>90</v>
      </c>
      <c r="D24" s="3">
        <v>0.875</v>
      </c>
      <c r="E24" s="3">
        <f t="shared" si="0"/>
        <v>24</v>
      </c>
      <c r="F24" s="3">
        <f t="shared" si="1"/>
        <v>0.734375</v>
      </c>
      <c r="G24" s="3">
        <f t="shared" si="2"/>
        <v>0.62609901234642129</v>
      </c>
      <c r="H24" s="3">
        <v>0.875</v>
      </c>
    </row>
    <row r="25" spans="1:8" x14ac:dyDescent="0.25">
      <c r="A25" s="2">
        <v>24</v>
      </c>
      <c r="B25" s="1" t="s">
        <v>7</v>
      </c>
      <c r="C25" s="1">
        <v>88</v>
      </c>
      <c r="D25" s="3">
        <v>-1.125</v>
      </c>
      <c r="E25" s="3">
        <f t="shared" si="0"/>
        <v>7</v>
      </c>
      <c r="F25" s="3">
        <f t="shared" si="1"/>
        <v>0.203125</v>
      </c>
      <c r="G25" s="3">
        <f t="shared" si="2"/>
        <v>-0.83051087820540004</v>
      </c>
      <c r="H25" s="3">
        <v>-1.125</v>
      </c>
    </row>
    <row r="26" spans="1:8" x14ac:dyDescent="0.25">
      <c r="A26" s="2">
        <v>25</v>
      </c>
      <c r="B26" s="1" t="s">
        <v>4</v>
      </c>
      <c r="C26" s="1">
        <v>45</v>
      </c>
      <c r="D26" s="3">
        <v>-2.125</v>
      </c>
      <c r="E26" s="3">
        <f t="shared" si="0"/>
        <v>3</v>
      </c>
      <c r="F26" s="3">
        <f t="shared" si="1"/>
        <v>7.8125E-2</v>
      </c>
      <c r="G26" s="3">
        <f t="shared" si="2"/>
        <v>-1.4177971379962682</v>
      </c>
      <c r="H26" s="3">
        <v>-2.125</v>
      </c>
    </row>
    <row r="27" spans="1:8" x14ac:dyDescent="0.25">
      <c r="A27" s="2">
        <v>26</v>
      </c>
      <c r="B27" s="1" t="s">
        <v>4</v>
      </c>
      <c r="C27" s="1">
        <v>50</v>
      </c>
      <c r="D27" s="3">
        <v>2.875</v>
      </c>
      <c r="E27" s="3">
        <f t="shared" si="0"/>
        <v>31</v>
      </c>
      <c r="F27" s="3">
        <f t="shared" si="1"/>
        <v>0.953125</v>
      </c>
      <c r="G27" s="3">
        <f t="shared" si="2"/>
        <v>1.6759397227734436</v>
      </c>
      <c r="H27" s="3">
        <v>2.875</v>
      </c>
    </row>
    <row r="28" spans="1:8" x14ac:dyDescent="0.25">
      <c r="A28" s="2">
        <v>27</v>
      </c>
      <c r="B28" s="1" t="s">
        <v>4</v>
      </c>
      <c r="C28" s="1">
        <v>48</v>
      </c>
      <c r="D28" s="3">
        <v>0.874999999999999</v>
      </c>
      <c r="E28" s="3">
        <f t="shared" si="0"/>
        <v>23</v>
      </c>
      <c r="F28" s="3">
        <f t="shared" si="1"/>
        <v>0.703125</v>
      </c>
      <c r="G28" s="3">
        <f t="shared" si="2"/>
        <v>0.5334097062412807</v>
      </c>
      <c r="H28" s="3">
        <v>0.874999999999999</v>
      </c>
    </row>
    <row r="29" spans="1:8" x14ac:dyDescent="0.25">
      <c r="A29" s="2">
        <v>28</v>
      </c>
      <c r="B29" s="1" t="s">
        <v>4</v>
      </c>
      <c r="C29" s="1">
        <v>47</v>
      </c>
      <c r="D29" s="3">
        <v>-0.125000000000001</v>
      </c>
      <c r="E29" s="3">
        <f t="shared" si="0"/>
        <v>13</v>
      </c>
      <c r="F29" s="3">
        <f t="shared" si="1"/>
        <v>0.390625</v>
      </c>
      <c r="G29" s="3">
        <f t="shared" si="2"/>
        <v>-0.27769043982157676</v>
      </c>
      <c r="H29" s="3">
        <v>-0.125000000000001</v>
      </c>
    </row>
    <row r="30" spans="1:8" x14ac:dyDescent="0.25">
      <c r="A30" s="2">
        <v>29</v>
      </c>
      <c r="B30" s="1" t="s">
        <v>4</v>
      </c>
      <c r="C30" s="1">
        <v>49</v>
      </c>
      <c r="D30" s="3">
        <v>1.875</v>
      </c>
      <c r="E30" s="3">
        <f t="shared" si="0"/>
        <v>28</v>
      </c>
      <c r="F30" s="3">
        <f t="shared" si="1"/>
        <v>0.859375</v>
      </c>
      <c r="G30" s="3">
        <f t="shared" si="2"/>
        <v>1.0775155670402805</v>
      </c>
      <c r="H30" s="3">
        <v>1.875</v>
      </c>
    </row>
    <row r="31" spans="1:8" x14ac:dyDescent="0.25">
      <c r="A31" s="2">
        <v>30</v>
      </c>
      <c r="B31" s="1" t="s">
        <v>4</v>
      </c>
      <c r="C31" s="1">
        <v>47</v>
      </c>
      <c r="D31" s="3">
        <v>-0.125000000000001</v>
      </c>
      <c r="E31" s="3">
        <f t="shared" si="0"/>
        <v>13</v>
      </c>
      <c r="F31" s="3">
        <f t="shared" si="1"/>
        <v>0.390625</v>
      </c>
      <c r="G31" s="3">
        <f t="shared" si="2"/>
        <v>-0.27769043982157676</v>
      </c>
      <c r="H31" s="3">
        <v>-0.125000000000001</v>
      </c>
    </row>
    <row r="32" spans="1:8" x14ac:dyDescent="0.25">
      <c r="A32" s="2">
        <v>31</v>
      </c>
      <c r="B32" s="1" t="s">
        <v>4</v>
      </c>
      <c r="C32" s="1">
        <v>44</v>
      </c>
      <c r="D32" s="3">
        <v>-3.125</v>
      </c>
      <c r="E32" s="3">
        <f t="shared" si="0"/>
        <v>1</v>
      </c>
      <c r="F32" s="3">
        <f t="shared" si="1"/>
        <v>1.5625E-2</v>
      </c>
      <c r="G32" s="3">
        <f t="shared" si="2"/>
        <v>-2.1538746940614555</v>
      </c>
      <c r="H32" s="3">
        <v>-3.125</v>
      </c>
    </row>
    <row r="33" spans="1:8" x14ac:dyDescent="0.25">
      <c r="A33" s="2">
        <v>32</v>
      </c>
      <c r="B33" s="1" t="s">
        <v>4</v>
      </c>
      <c r="C33" s="1">
        <v>47</v>
      </c>
      <c r="D33" s="3">
        <v>-0.125000000000001</v>
      </c>
      <c r="E33" s="3">
        <f>RANK(D33,$D$2:$D$33,1)</f>
        <v>13</v>
      </c>
      <c r="F33" s="3">
        <f t="shared" si="1"/>
        <v>0.390625</v>
      </c>
      <c r="G33" s="3">
        <f t="shared" si="2"/>
        <v>-0.27769043982157676</v>
      </c>
      <c r="H33" s="3">
        <v>-0.125000000000001</v>
      </c>
    </row>
    <row r="34" spans="1:8" x14ac:dyDescent="0.25">
      <c r="A34" s="3"/>
      <c r="B34" s="3"/>
      <c r="C34" s="3"/>
      <c r="D34" s="3"/>
      <c r="E34" s="3"/>
      <c r="F34" s="3"/>
      <c r="G34" s="3"/>
    </row>
    <row r="35" spans="1:8" x14ac:dyDescent="0.25">
      <c r="A35" s="3"/>
      <c r="B35" s="3"/>
      <c r="C35" s="3"/>
      <c r="D35" s="3"/>
      <c r="E35" s="3"/>
      <c r="F35" s="3"/>
      <c r="G35" s="3"/>
    </row>
    <row r="36" spans="1:8" x14ac:dyDescent="0.25">
      <c r="A36" s="3"/>
      <c r="B36" s="3"/>
      <c r="C36" s="3"/>
      <c r="D36" s="3"/>
      <c r="E36" s="3"/>
      <c r="F36" s="3"/>
      <c r="G36" s="3"/>
    </row>
    <row r="37" spans="1:8" x14ac:dyDescent="0.25">
      <c r="A37" s="3"/>
      <c r="B37" s="3"/>
      <c r="C37" s="3"/>
      <c r="D37" s="3"/>
      <c r="E37" s="3"/>
      <c r="F37" s="3"/>
      <c r="G37" s="3"/>
    </row>
    <row r="38" spans="1:8" x14ac:dyDescent="0.25">
      <c r="A38" s="3"/>
      <c r="B38" s="3"/>
      <c r="C38" s="3"/>
      <c r="D38" s="3"/>
      <c r="E38" s="3"/>
      <c r="F38" s="3"/>
      <c r="G38" s="3"/>
    </row>
    <row r="39" spans="1:8" x14ac:dyDescent="0.25">
      <c r="A39" s="3"/>
      <c r="B39" s="3"/>
      <c r="C39" s="3"/>
      <c r="D39" s="3"/>
      <c r="E39" s="3"/>
      <c r="F39" s="3"/>
      <c r="G39" s="3"/>
    </row>
    <row r="40" spans="1:8" x14ac:dyDescent="0.25">
      <c r="A40" s="3"/>
      <c r="B40" s="3"/>
      <c r="C40" s="3"/>
      <c r="D40" s="3"/>
      <c r="E40" s="3"/>
      <c r="F40" s="3"/>
      <c r="G40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Hall</dc:creator>
  <cp:lastModifiedBy>Drew Hall</cp:lastModifiedBy>
  <dcterms:created xsi:type="dcterms:W3CDTF">2015-06-05T18:17:20Z</dcterms:created>
  <dcterms:modified xsi:type="dcterms:W3CDTF">2026-05-02T04:47:32Z</dcterms:modified>
</cp:coreProperties>
</file>